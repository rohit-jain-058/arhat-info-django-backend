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ing Checklist" sheetId="1" state="visible" r:id="rId3"/>
    <sheet name="Summary" sheetId="2" state="visible" r:id="rId4"/>
  </sheets>
  <definedNames>
    <definedName function="false" hidden="true" localSheetId="0" name="_xlnm._FilterDatabase" vbProcedure="false">'Testing Checklist'!$A$4:$F$101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<sst xmlns="http://schemas.openxmlformats.org/spreadsheetml/2006/main" count="418" uniqueCount="124">
  <si>
    <t xml:space="preserve">Tylented — Full Testing Checklist</t>
  </si>
  <si>
    <t xml:space="preserve">97 items across auth, tier gating, all 3 web portals, admin dashboard, billing, all 3 Chrome extensions, security, and legal. Filter the Area column (row 4) to work through one section at a time.</t>
  </si>
  <si>
    <t xml:space="preserve">#</t>
  </si>
  <si>
    <t xml:space="preserve">Area</t>
  </si>
  <si>
    <t xml:space="preserve">Test Item</t>
  </si>
  <si>
    <t xml:space="preserve">Priority</t>
  </si>
  <si>
    <t xml:space="preserve">Status</t>
  </si>
  <si>
    <t xml:space="preserve">Notes</t>
  </si>
  <si>
    <t xml:space="preserve">Auth &amp; Account</t>
  </si>
  <si>
    <t xml:space="preserve">Email/password signup sends verification email</t>
  </si>
  <si>
    <t xml:space="preserve">Critical</t>
  </si>
  <si>
    <t xml:space="preserve">Not Started</t>
  </si>
  <si>
    <t xml:space="preserve">Verification link click flips email_verified to true</t>
  </si>
  <si>
    <t xml:space="preserve">Login with verified email + password</t>
  </si>
  <si>
    <t xml:space="preserve">Google OAuth signup (new user)</t>
  </si>
  <si>
    <t xml:space="preserve">Google OAuth login (existing user)</t>
  </si>
  <si>
    <t xml:space="preserve">Forgot password -&gt; reset email -&gt; reset flow completes</t>
  </si>
  <si>
    <t xml:space="preserve">High</t>
  </si>
  <si>
    <t xml:space="preserve">Unverified-email users are blocked/warned where required</t>
  </si>
  <si>
    <t xml:space="preserve">Medium</t>
  </si>
  <si>
    <t xml:space="preserve">Logout clears tokens correctly on web and in both extensions</t>
  </si>
  <si>
    <t xml:space="preserve">JWT auto-refresh on 401 works transparently (no forced re-login)</t>
  </si>
  <si>
    <t xml:space="preserve">Tier Gating</t>
  </si>
  <si>
    <t xml:space="preserve">Free user is blocked (403) from every AI tool endpoint</t>
  </si>
  <si>
    <t xml:space="preserve">Free user can use Rate Calculator + Invoice Generator with no login</t>
  </si>
  <si>
    <t xml:space="preserve">AI Tool tier unlocks AI tools but NOT Chrome extension access</t>
  </si>
  <si>
    <t xml:space="preserve">AI + Chrome Extension tier unlocks AI tools + extension access</t>
  </si>
  <si>
    <t xml:space="preserve">AI Premium tier unlocks everything at the highest daily limit</t>
  </si>
  <si>
    <t xml:space="preserve">Daily AI quota actually blocks at the cap (20 / 30 / 50 per tier)</t>
  </si>
  <si>
    <t xml:space="preserve">Daily AI quota resets at midnight UTC as documented</t>
  </si>
  <si>
    <t xml:space="preserve">Job Search Portal</t>
  </si>
  <si>
    <t xml:space="preserve">Job Matcher returns real GPT output against a real job description</t>
  </si>
  <si>
    <t xml:space="preserve">Cover Letter Generator returns real output</t>
  </si>
  <si>
    <t xml:space="preserve">Resume Summary Generator returns real output</t>
  </si>
  <si>
    <t xml:space="preserve">Recruiter Reply Generator returns real output</t>
  </si>
  <si>
    <t xml:space="preserve">LinkedIn Post Generator returns real output</t>
  </si>
  <si>
    <t xml:space="preserve">Email Generator returns real output</t>
  </si>
  <si>
    <t xml:space="preserve">Resume upload/parse into Resume Manager works</t>
  </si>
  <si>
    <t xml:space="preserve">Selecting a resume prefills Job Matcher / Cover Letter fields</t>
  </si>
  <si>
    <t xml:space="preserve">Freelancer Portal</t>
  </si>
  <si>
    <t xml:space="preserve">Upwork Proposal Generator returns real output</t>
  </si>
  <si>
    <t xml:space="preserve">LinkedIn Outreach Generator returns real output</t>
  </si>
  <si>
    <t xml:space="preserve">Prompt Generator returns real output</t>
  </si>
  <si>
    <t xml:space="preserve">Low</t>
  </si>
  <si>
    <t xml:space="preserve">Rate Calculator math is correct, no login required</t>
  </si>
  <si>
    <t xml:space="preserve">Invoice Generator math is correct, no login required</t>
  </si>
  <si>
    <t xml:space="preserve">Invoice "printable version" opens and renders correctly</t>
  </si>
  <si>
    <t xml:space="preserve">Developer Portal</t>
  </si>
  <si>
    <t xml:space="preserve">SQL Generator returns real output, dialect selector respected</t>
  </si>
  <si>
    <t xml:space="preserve">Regex Generator returns real output, language selector respected</t>
  </si>
  <si>
    <t xml:space="preserve">API Docs Generator returns real output</t>
  </si>
  <si>
    <t xml:space="preserve">Cron Generator returns real output, format (standard/quartz/aws) respected</t>
  </si>
  <si>
    <t xml:space="preserve">API Tester correctly analyzes a request/response pair</t>
  </si>
  <si>
    <t xml:space="preserve">Meeting Notes Summarizer returns real output, style options work</t>
  </si>
  <si>
    <t xml:space="preserve">Admin Dashboard</t>
  </si>
  <si>
    <t xml:space="preserve">/admin redirects non-staff users to /dashboard</t>
  </si>
  <si>
    <t xml:space="preserve">/admin loads correctly for an is_staff=True account</t>
  </si>
  <si>
    <t xml:space="preserve">Overview metrics (MRR, active subs, collected, failed $, churn, past_due) match real DB state</t>
  </si>
  <si>
    <t xml:space="preserve">Alerts panel surfaces past_due and failed-payment users correctly</t>
  </si>
  <si>
    <t xml:space="preserve">User table search by email/name works</t>
  </si>
  <si>
    <t xml:space="preserve">User table status filter works</t>
  </si>
  <si>
    <t xml:space="preserve">User table pagination works</t>
  </si>
  <si>
    <t xml:space="preserve">Clicking a user row opens the detail modal with correct data</t>
  </si>
  <si>
    <t xml:space="preserve">Editing profile fields (name, email, toggles) saves correctly</t>
  </si>
  <si>
    <t xml:space="preserve">Self-lockout guard blocks removing your own is_staff/is_active</t>
  </si>
  <si>
    <t xml:space="preserve">Editing subscription (plan, status, period end, cancel flag) saves and reflects immediately</t>
  </si>
  <si>
    <t xml:space="preserve">Payment history shown in modal matches the Payment table</t>
  </si>
  <si>
    <t xml:space="preserve">Billing / Stripe</t>
  </si>
  <si>
    <t xml:space="preserve">New subscriber checkout -&gt; Checkout Session -&gt; webhook activates subscription</t>
  </si>
  <si>
    <t xml:space="preserve">Test Clock: full renewal cycle advances current_period_end and logs a Payment row</t>
  </si>
  <si>
    <t xml:space="preserve">Test Clock: failed renewal (4000000000000341) flips status to past_due and appears in Alerts</t>
  </si>
  <si>
    <t xml:space="preserve">Upgrade mid-cycle prorates correctly with no duplicate subscription</t>
  </si>
  <si>
    <t xml:space="preserve">Downgrade takes effect correctly</t>
  </si>
  <si>
    <t xml:space="preserve">Cancel-at-period-end sets the flag; access continues until period end</t>
  </si>
  <si>
    <t xml:space="preserve">Immediate cancel downgrades to Free right away</t>
  </si>
  <si>
    <t xml:space="preserve">Resuming a cancel-at-period-end subscription works</t>
  </si>
  <si>
    <t xml:space="preserve">Billing portal link opens the correct Stripe customer portal</t>
  </si>
  <si>
    <t xml:space="preserve">STRIPE_WEBHOOK_SECRET matches the endpoint registered for the prod host</t>
  </si>
  <si>
    <t xml:space="preserve">Bad webhook signatures are rejected with 400, not 500</t>
  </si>
  <si>
    <t xml:space="preserve">Job Search Extension</t>
  </si>
  <si>
    <t xml:space="preserve">Loads unpacked with zero console errors</t>
  </si>
  <si>
    <t xml:space="preserve">Inline sidebar login works (Google + email/password)</t>
  </si>
  <si>
    <t xml:space="preserve">Right-click selected text -&gt; context menu -&gt; correct tool opens, prefilled</t>
  </si>
  <si>
    <t xml:space="preserve">Sidebar toggle button works on real third-party webpages</t>
  </si>
  <si>
    <t xml:space="preserve">Resume Library carousel: view / select / delete resumes</t>
  </si>
  <si>
    <t xml:space="preserve">Selecting a resume prefills the relevant tool fields</t>
  </si>
  <si>
    <t xml:space="preserve">Popup and sidebar stay in sync (tools, resume library, login state)</t>
  </si>
  <si>
    <t xml:space="preserve">Auth state syncs between popup and sidebar after login/logout</t>
  </si>
  <si>
    <t xml:space="preserve">Options page loads with zero CSP console errors, settings save</t>
  </si>
  <si>
    <t xml:space="preserve">Feedback-note link points to a working URL</t>
  </si>
  <si>
    <t xml:space="preserve">Freelance Extension</t>
  </si>
  <si>
    <t xml:space="preserve">Sidebar and popup have full tool parity (5 AI tools + 2 free tools)</t>
  </si>
  <si>
    <t xml:space="preserve">Resume prefill fills BOTH skills and experience on Upwork Proposal</t>
  </si>
  <si>
    <t xml:space="preserve">Resume prefill fills Email Generator context and LinkedIn Outreach topic</t>
  </si>
  <si>
    <t xml:space="preserve">Invoice "printable version" opens correctly via the OPEN_TAB message</t>
  </si>
  <si>
    <t xml:space="preserve">Rate Calculator math is correct in both sidebar and popup</t>
  </si>
  <si>
    <t xml:space="preserve">Developer Extension</t>
  </si>
  <si>
    <t xml:space="preserve">All 6 tools produce output via both sidebar and popup</t>
  </si>
  <si>
    <t xml:space="preserve">Context menu opens the correct tool with selected text prefilled</t>
  </si>
  <si>
    <t xml:space="preserve">Security &amp; Infra</t>
  </si>
  <si>
    <t xml:space="preserve">Secrets sweep: no live keys/tokens committed in either repo</t>
  </si>
  <si>
    <t xml:space="preserve">ALLOWED_HOSTS / CORS_ALLOWED_ORIGINS only include tylented.com domains you control</t>
  </si>
  <si>
    <t xml:space="preserve">host_permissions in all 3 extension manifests are scoped, no &lt;all_urls&gt;</t>
  </si>
  <si>
    <t xml:space="preserve">No inline &lt;script&gt; remains in any extension HTML page</t>
  </si>
  <si>
    <t xml:space="preserve">AI quota enforcement verified under concurrent requests from one user</t>
  </si>
  <si>
    <t xml:space="preserve">A handful of simultaneous AI requests does not crash the worker</t>
  </si>
  <si>
    <t xml:space="preserve">Legal / Compliance</t>
  </si>
  <si>
    <t xml:space="preserve">Terms of Service reflects Tylented brand and current 4-tier pricing</t>
  </si>
  <si>
    <t xml:space="preserve">Privacy Policy reflects Tylented brand and discloses what each extension reads/sends</t>
  </si>
  <si>
    <t xml:space="preserve">Refund / cancellation policy is stated clearly</t>
  </si>
  <si>
    <t xml:space="preserve">Cookie/analytics consent banner actually blocks non-essential scripts pre-consent</t>
  </si>
  <si>
    <t xml:space="preserve">A data-deletion request path exists and is documented</t>
  </si>
  <si>
    <t xml:space="preserve">Feedback Loop &amp; Domain</t>
  </si>
  <si>
    <t xml:space="preserve">tylented.com/feedback is a real working form, not a placeholder</t>
  </si>
  <si>
    <t xml:space="preserve">Feedback link is correct on all 3 extensions + both portal pages it was added to</t>
  </si>
  <si>
    <t xml:space="preserve">arhat.info -&gt; tylented.com migration fully complete, no broken links</t>
  </si>
  <si>
    <t xml:space="preserve">OAuth redirect URIs updated for the tylented.com production host</t>
  </si>
  <si>
    <t xml:space="preserve">Total Items</t>
  </si>
  <si>
    <t xml:space="preserve">Pass</t>
  </si>
  <si>
    <t xml:space="preserve">Fail</t>
  </si>
  <si>
    <t xml:space="preserve">In Progress</t>
  </si>
  <si>
    <t xml:space="preserve">Blocked</t>
  </si>
  <si>
    <t xml:space="preserve">N/A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</si>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</sst>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90C0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F2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F2B"/>
        <bgColor rgb="FF333300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EDEF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A1F2B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DEFF2"/>
          <bgColor rgb="FF000000"/>
        </patternFill>
      </fill>
    </dxf>
    <dxf>
      <fill>
        <patternFill>
          <bgColor rgb="FFDFF5E1"/>
        </patternFill>
      </fill>
    </dxf>
    <dxf>
      <fill>
        <patternFill>
          <bgColor rgb="FFFBE0DE"/>
        </patternFill>
      </fill>
    </dxf>
    <dxf>
      <fill>
        <patternFill>
          <bgColor rgb="FFFCF3CF"/>
        </patternFill>
      </fill>
    </dxf>
    <dxf>
      <fill>
        <patternFill>
          <bgColor rgb="FFEDEFF2"/>
        </patternFill>
      </fill>
    </dxf>
    <dxf>
      <font>
        <name val="Arial"/>
        <charset val="1"/>
        <family val="0"/>
        <b val="1"/>
        <color rgb="FFC0392B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C0"/>
      <rgbColor rgb="FFC0C0C0"/>
      <rgbColor rgb="FF808080"/>
      <rgbColor rgb="FF9999FF"/>
      <rgbColor rgb="FF993366"/>
      <rgbColor rgb="FFFCF3CF"/>
      <rgbColor rgb="FFEDEFF2"/>
      <rgbColor rgb="FF660066"/>
      <rgbColor rgb="FFFF8080"/>
      <rgbColor rgb="FF0066CC"/>
      <rgbColor rgb="FFD8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FF5E1"/>
      <rgbColor rgb="FFFFFF99"/>
      <rgbColor rgb="FF99CCFF"/>
      <rgbColor rgb="FFFF99CC"/>
      <rgbColor rgb="FFCC99FF"/>
      <rgbColor rgb="FFFBE0DE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1F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5" t="s">
        <v>9</v>
      </c>
      <c r="D5" s="4" t="s">
        <v>10</v>
      </c>
      <c r="E5" s="4" t="s">
        <v>11</v>
      </c>
      <c r="F5" s="4"/>
    </row>
    <row r="6" customFormat="false" ht="15" hidden="false" customHeight="false" outlineLevel="0" collapsed="false">
      <c r="A6" s="6" t="n">
        <v>2</v>
      </c>
      <c r="B6" s="6" t="s">
        <v>8</v>
      </c>
      <c r="C6" s="7" t="s">
        <v>12</v>
      </c>
      <c r="D6" s="6" t="s">
        <v>10</v>
      </c>
      <c r="E6" s="6" t="s">
        <v>11</v>
      </c>
      <c r="F6" s="6"/>
    </row>
    <row r="7" customFormat="false" ht="15" hidden="false" customHeight="false" outlineLevel="0" collapsed="false">
      <c r="A7" s="4" t="n">
        <v>3</v>
      </c>
      <c r="B7" s="4" t="s">
        <v>8</v>
      </c>
      <c r="C7" s="5" t="s">
        <v>13</v>
      </c>
      <c r="D7" s="4" t="s">
        <v>10</v>
      </c>
      <c r="E7" s="4" t="s">
        <v>11</v>
      </c>
      <c r="F7" s="4"/>
    </row>
    <row r="8" customFormat="false" ht="15" hidden="false" customHeight="false" outlineLevel="0" collapsed="false">
      <c r="A8" s="6" t="n">
        <v>4</v>
      </c>
      <c r="B8" s="6" t="s">
        <v>8</v>
      </c>
      <c r="C8" s="7" t="s">
        <v>14</v>
      </c>
      <c r="D8" s="6" t="s">
        <v>10</v>
      </c>
      <c r="E8" s="6" t="s">
        <v>11</v>
      </c>
      <c r="F8" s="6"/>
    </row>
    <row r="9" customFormat="false" ht="15" hidden="false" customHeight="false" outlineLevel="0" collapsed="false">
      <c r="A9" s="4" t="n">
        <v>5</v>
      </c>
      <c r="B9" s="4" t="s">
        <v>8</v>
      </c>
      <c r="C9" s="5" t="s">
        <v>15</v>
      </c>
      <c r="D9" s="4" t="s">
        <v>10</v>
      </c>
      <c r="E9" s="4" t="s">
        <v>11</v>
      </c>
      <c r="F9" s="4"/>
    </row>
    <row r="10" customFormat="false" ht="15" hidden="false" customHeight="false" outlineLevel="0" collapsed="false">
      <c r="A10" s="6" t="n">
        <v>6</v>
      </c>
      <c r="B10" s="6" t="s">
        <v>8</v>
      </c>
      <c r="C10" s="7" t="s">
        <v>16</v>
      </c>
      <c r="D10" s="6" t="s">
        <v>17</v>
      </c>
      <c r="E10" s="6" t="s">
        <v>11</v>
      </c>
      <c r="F10" s="6"/>
    </row>
    <row r="11" customFormat="false" ht="15" hidden="false" customHeight="false" outlineLevel="0" collapsed="false">
      <c r="A11" s="4" t="n">
        <v>7</v>
      </c>
      <c r="B11" s="4" t="s">
        <v>8</v>
      </c>
      <c r="C11" s="5" t="s">
        <v>18</v>
      </c>
      <c r="D11" s="4" t="s">
        <v>19</v>
      </c>
      <c r="E11" s="4" t="s">
        <v>11</v>
      </c>
      <c r="F11" s="4"/>
    </row>
    <row r="12" customFormat="false" ht="15" hidden="false" customHeight="false" outlineLevel="0" collapsed="false">
      <c r="A12" s="6" t="n">
        <v>8</v>
      </c>
      <c r="B12" s="6" t="s">
        <v>8</v>
      </c>
      <c r="C12" s="7" t="s">
        <v>20</v>
      </c>
      <c r="D12" s="6" t="s">
        <v>17</v>
      </c>
      <c r="E12" s="6" t="s">
        <v>11</v>
      </c>
      <c r="F12" s="6"/>
    </row>
    <row r="13" customFormat="false" ht="15" hidden="false" customHeight="false" outlineLevel="0" collapsed="false">
      <c r="A13" s="4" t="n">
        <v>9</v>
      </c>
      <c r="B13" s="4" t="s">
        <v>8</v>
      </c>
      <c r="C13" s="5" t="s">
        <v>21</v>
      </c>
      <c r="D13" s="4" t="s">
        <v>17</v>
      </c>
      <c r="E13" s="4" t="s">
        <v>11</v>
      </c>
      <c r="F13" s="4"/>
    </row>
    <row r="14" customFormat="false" ht="15" hidden="false" customHeight="false" outlineLevel="0" collapsed="false">
      <c r="A14" s="6" t="n">
        <v>10</v>
      </c>
      <c r="B14" s="6" t="s">
        <v>22</v>
      </c>
      <c r="C14" s="7" t="s">
        <v>23</v>
      </c>
      <c r="D14" s="6" t="s">
        <v>10</v>
      </c>
      <c r="E14" s="6" t="s">
        <v>11</v>
      </c>
      <c r="F14" s="6"/>
    </row>
    <row r="15" customFormat="false" ht="15" hidden="false" customHeight="false" outlineLevel="0" collapsed="false">
      <c r="A15" s="4" t="n">
        <v>11</v>
      </c>
      <c r="B15" s="4" t="s">
        <v>22</v>
      </c>
      <c r="C15" s="5" t="s">
        <v>24</v>
      </c>
      <c r="D15" s="4" t="s">
        <v>17</v>
      </c>
      <c r="E15" s="4" t="s">
        <v>11</v>
      </c>
      <c r="F15" s="4"/>
    </row>
    <row r="16" customFormat="false" ht="15" hidden="false" customHeight="false" outlineLevel="0" collapsed="false">
      <c r="A16" s="6" t="n">
        <v>12</v>
      </c>
      <c r="B16" s="6" t="s">
        <v>22</v>
      </c>
      <c r="C16" s="7" t="s">
        <v>25</v>
      </c>
      <c r="D16" s="6" t="s">
        <v>10</v>
      </c>
      <c r="E16" s="6" t="s">
        <v>11</v>
      </c>
      <c r="F16" s="6"/>
    </row>
    <row r="17" customFormat="false" ht="15" hidden="false" customHeight="false" outlineLevel="0" collapsed="false">
      <c r="A17" s="4" t="n">
        <v>13</v>
      </c>
      <c r="B17" s="4" t="s">
        <v>22</v>
      </c>
      <c r="C17" s="5" t="s">
        <v>26</v>
      </c>
      <c r="D17" s="4" t="s">
        <v>10</v>
      </c>
      <c r="E17" s="4" t="s">
        <v>11</v>
      </c>
      <c r="F17" s="4"/>
    </row>
    <row r="18" customFormat="false" ht="15" hidden="false" customHeight="false" outlineLevel="0" collapsed="false">
      <c r="A18" s="6" t="n">
        <v>14</v>
      </c>
      <c r="B18" s="6" t="s">
        <v>22</v>
      </c>
      <c r="C18" s="7" t="s">
        <v>27</v>
      </c>
      <c r="D18" s="6" t="s">
        <v>10</v>
      </c>
      <c r="E18" s="6" t="s">
        <v>11</v>
      </c>
      <c r="F18" s="6"/>
    </row>
    <row r="19" customFormat="false" ht="15" hidden="false" customHeight="false" outlineLevel="0" collapsed="false">
      <c r="A19" s="4" t="n">
        <v>15</v>
      </c>
      <c r="B19" s="4" t="s">
        <v>22</v>
      </c>
      <c r="C19" s="5" t="s">
        <v>28</v>
      </c>
      <c r="D19" s="4" t="s">
        <v>10</v>
      </c>
      <c r="E19" s="4" t="s">
        <v>11</v>
      </c>
      <c r="F19" s="4"/>
    </row>
    <row r="20" customFormat="false" ht="15" hidden="false" customHeight="false" outlineLevel="0" collapsed="false">
      <c r="A20" s="6" t="n">
        <v>16</v>
      </c>
      <c r="B20" s="6" t="s">
        <v>22</v>
      </c>
      <c r="C20" s="7" t="s">
        <v>29</v>
      </c>
      <c r="D20" s="6" t="s">
        <v>19</v>
      </c>
      <c r="E20" s="6" t="s">
        <v>11</v>
      </c>
      <c r="F20" s="6"/>
    </row>
    <row r="21" customFormat="false" ht="15" hidden="false" customHeight="false" outlineLevel="0" collapsed="false">
      <c r="A21" s="4" t="n">
        <v>17</v>
      </c>
      <c r="B21" s="4" t="s">
        <v>30</v>
      </c>
      <c r="C21" s="5" t="s">
        <v>31</v>
      </c>
      <c r="D21" s="4" t="s">
        <v>10</v>
      </c>
      <c r="E21" s="4" t="s">
        <v>11</v>
      </c>
      <c r="F21" s="4"/>
    </row>
    <row r="22" customFormat="false" ht="15" hidden="false" customHeight="false" outlineLevel="0" collapsed="false">
      <c r="A22" s="6" t="n">
        <v>18</v>
      </c>
      <c r="B22" s="6" t="s">
        <v>30</v>
      </c>
      <c r="C22" s="7" t="s">
        <v>32</v>
      </c>
      <c r="D22" s="6" t="s">
        <v>17</v>
      </c>
      <c r="E22" s="6" t="s">
        <v>11</v>
      </c>
      <c r="F22" s="6"/>
    </row>
    <row r="23" customFormat="false" ht="15" hidden="false" customHeight="false" outlineLevel="0" collapsed="false">
      <c r="A23" s="4" t="n">
        <v>19</v>
      </c>
      <c r="B23" s="4" t="s">
        <v>30</v>
      </c>
      <c r="C23" s="5" t="s">
        <v>33</v>
      </c>
      <c r="D23" s="4" t="s">
        <v>17</v>
      </c>
      <c r="E23" s="4" t="s">
        <v>11</v>
      </c>
      <c r="F23" s="4"/>
    </row>
    <row r="24" customFormat="false" ht="15" hidden="false" customHeight="false" outlineLevel="0" collapsed="false">
      <c r="A24" s="6" t="n">
        <v>20</v>
      </c>
      <c r="B24" s="6" t="s">
        <v>30</v>
      </c>
      <c r="C24" s="7" t="s">
        <v>34</v>
      </c>
      <c r="D24" s="6" t="s">
        <v>19</v>
      </c>
      <c r="E24" s="6" t="s">
        <v>11</v>
      </c>
      <c r="F24" s="6"/>
    </row>
    <row r="25" customFormat="false" ht="15" hidden="false" customHeight="false" outlineLevel="0" collapsed="false">
      <c r="A25" s="4" t="n">
        <v>21</v>
      </c>
      <c r="B25" s="4" t="s">
        <v>30</v>
      </c>
      <c r="C25" s="5" t="s">
        <v>35</v>
      </c>
      <c r="D25" s="4" t="s">
        <v>19</v>
      </c>
      <c r="E25" s="4" t="s">
        <v>11</v>
      </c>
      <c r="F25" s="4"/>
    </row>
    <row r="26" customFormat="false" ht="15" hidden="false" customHeight="false" outlineLevel="0" collapsed="false">
      <c r="A26" s="6" t="n">
        <v>22</v>
      </c>
      <c r="B26" s="6" t="s">
        <v>30</v>
      </c>
      <c r="C26" s="7" t="s">
        <v>36</v>
      </c>
      <c r="D26" s="6" t="s">
        <v>19</v>
      </c>
      <c r="E26" s="6" t="s">
        <v>11</v>
      </c>
      <c r="F26" s="6"/>
    </row>
    <row r="27" customFormat="false" ht="15" hidden="false" customHeight="false" outlineLevel="0" collapsed="false">
      <c r="A27" s="4" t="n">
        <v>23</v>
      </c>
      <c r="B27" s="4" t="s">
        <v>30</v>
      </c>
      <c r="C27" s="5" t="s">
        <v>37</v>
      </c>
      <c r="D27" s="4" t="s">
        <v>10</v>
      </c>
      <c r="E27" s="4" t="s">
        <v>11</v>
      </c>
      <c r="F27" s="4"/>
    </row>
    <row r="28" customFormat="false" ht="15" hidden="false" customHeight="false" outlineLevel="0" collapsed="false">
      <c r="A28" s="6" t="n">
        <v>24</v>
      </c>
      <c r="B28" s="6" t="s">
        <v>30</v>
      </c>
      <c r="C28" s="7" t="s">
        <v>38</v>
      </c>
      <c r="D28" s="6" t="s">
        <v>17</v>
      </c>
      <c r="E28" s="6" t="s">
        <v>11</v>
      </c>
      <c r="F28" s="6"/>
    </row>
    <row r="29" customFormat="false" ht="15" hidden="false" customHeight="false" outlineLevel="0" collapsed="false">
      <c r="A29" s="4" t="n">
        <v>25</v>
      </c>
      <c r="B29" s="4" t="s">
        <v>39</v>
      </c>
      <c r="C29" s="5" t="s">
        <v>40</v>
      </c>
      <c r="D29" s="4" t="s">
        <v>10</v>
      </c>
      <c r="E29" s="4" t="s">
        <v>11</v>
      </c>
      <c r="F29" s="4"/>
    </row>
    <row r="30" customFormat="false" ht="15" hidden="false" customHeight="false" outlineLevel="0" collapsed="false">
      <c r="A30" s="6" t="n">
        <v>26</v>
      </c>
      <c r="B30" s="6" t="s">
        <v>39</v>
      </c>
      <c r="C30" s="7" t="s">
        <v>34</v>
      </c>
      <c r="D30" s="6" t="s">
        <v>19</v>
      </c>
      <c r="E30" s="6" t="s">
        <v>11</v>
      </c>
      <c r="F30" s="6"/>
    </row>
    <row r="31" customFormat="false" ht="15" hidden="false" customHeight="false" outlineLevel="0" collapsed="false">
      <c r="A31" s="4" t="n">
        <v>27</v>
      </c>
      <c r="B31" s="4" t="s">
        <v>39</v>
      </c>
      <c r="C31" s="5" t="s">
        <v>36</v>
      </c>
      <c r="D31" s="4" t="s">
        <v>19</v>
      </c>
      <c r="E31" s="4" t="s">
        <v>11</v>
      </c>
      <c r="F31" s="4"/>
    </row>
    <row r="32" customFormat="false" ht="15" hidden="false" customHeight="false" outlineLevel="0" collapsed="false">
      <c r="A32" s="6" t="n">
        <v>28</v>
      </c>
      <c r="B32" s="6" t="s">
        <v>39</v>
      </c>
      <c r="C32" s="7" t="s">
        <v>41</v>
      </c>
      <c r="D32" s="6" t="s">
        <v>19</v>
      </c>
      <c r="E32" s="6" t="s">
        <v>11</v>
      </c>
      <c r="F32" s="6"/>
    </row>
    <row r="33" customFormat="false" ht="15" hidden="false" customHeight="false" outlineLevel="0" collapsed="false">
      <c r="A33" s="4" t="n">
        <v>29</v>
      </c>
      <c r="B33" s="4" t="s">
        <v>39</v>
      </c>
      <c r="C33" s="5" t="s">
        <v>42</v>
      </c>
      <c r="D33" s="4" t="s">
        <v>43</v>
      </c>
      <c r="E33" s="4" t="s">
        <v>11</v>
      </c>
      <c r="F33" s="4"/>
    </row>
    <row r="34" customFormat="false" ht="15" hidden="false" customHeight="false" outlineLevel="0" collapsed="false">
      <c r="A34" s="6" t="n">
        <v>30</v>
      </c>
      <c r="B34" s="6" t="s">
        <v>39</v>
      </c>
      <c r="C34" s="7" t="s">
        <v>44</v>
      </c>
      <c r="D34" s="6" t="s">
        <v>17</v>
      </c>
      <c r="E34" s="6" t="s">
        <v>11</v>
      </c>
      <c r="F34" s="6"/>
    </row>
    <row r="35" customFormat="false" ht="15" hidden="false" customHeight="false" outlineLevel="0" collapsed="false">
      <c r="A35" s="4" t="n">
        <v>31</v>
      </c>
      <c r="B35" s="4" t="s">
        <v>39</v>
      </c>
      <c r="C35" s="5" t="s">
        <v>45</v>
      </c>
      <c r="D35" s="4" t="s">
        <v>17</v>
      </c>
      <c r="E35" s="4" t="s">
        <v>11</v>
      </c>
      <c r="F35" s="4"/>
    </row>
    <row r="36" customFormat="false" ht="15" hidden="false" customHeight="false" outlineLevel="0" collapsed="false">
      <c r="A36" s="6" t="n">
        <v>32</v>
      </c>
      <c r="B36" s="6" t="s">
        <v>39</v>
      </c>
      <c r="C36" s="7" t="s">
        <v>46</v>
      </c>
      <c r="D36" s="6" t="s">
        <v>19</v>
      </c>
      <c r="E36" s="6" t="s">
        <v>11</v>
      </c>
      <c r="F36" s="6"/>
    </row>
    <row r="37" customFormat="false" ht="15" hidden="false" customHeight="false" outlineLevel="0" collapsed="false">
      <c r="A37" s="4" t="n">
        <v>33</v>
      </c>
      <c r="B37" s="4" t="s">
        <v>47</v>
      </c>
      <c r="C37" s="5" t="s">
        <v>48</v>
      </c>
      <c r="D37" s="4" t="s">
        <v>17</v>
      </c>
      <c r="E37" s="4" t="s">
        <v>11</v>
      </c>
      <c r="F37" s="4"/>
    </row>
    <row r="38" customFormat="false" ht="15" hidden="false" customHeight="false" outlineLevel="0" collapsed="false">
      <c r="A38" s="6" t="n">
        <v>34</v>
      </c>
      <c r="B38" s="6" t="s">
        <v>47</v>
      </c>
      <c r="C38" s="7" t="s">
        <v>49</v>
      </c>
      <c r="D38" s="6" t="s">
        <v>19</v>
      </c>
      <c r="E38" s="6" t="s">
        <v>11</v>
      </c>
      <c r="F38" s="6"/>
    </row>
    <row r="39" customFormat="false" ht="15" hidden="false" customHeight="false" outlineLevel="0" collapsed="false">
      <c r="A39" s="4" t="n">
        <v>35</v>
      </c>
      <c r="B39" s="4" t="s">
        <v>47</v>
      </c>
      <c r="C39" s="5" t="s">
        <v>50</v>
      </c>
      <c r="D39" s="4" t="s">
        <v>19</v>
      </c>
      <c r="E39" s="4" t="s">
        <v>11</v>
      </c>
      <c r="F39" s="4"/>
    </row>
    <row r="40" customFormat="false" ht="15" hidden="false" customHeight="false" outlineLevel="0" collapsed="false">
      <c r="A40" s="6" t="n">
        <v>36</v>
      </c>
      <c r="B40" s="6" t="s">
        <v>47</v>
      </c>
      <c r="C40" s="7" t="s">
        <v>51</v>
      </c>
      <c r="D40" s="6" t="s">
        <v>19</v>
      </c>
      <c r="E40" s="6" t="s">
        <v>11</v>
      </c>
      <c r="F40" s="6"/>
    </row>
    <row r="41" customFormat="false" ht="15" hidden="false" customHeight="false" outlineLevel="0" collapsed="false">
      <c r="A41" s="4" t="n">
        <v>37</v>
      </c>
      <c r="B41" s="4" t="s">
        <v>47</v>
      </c>
      <c r="C41" s="5" t="s">
        <v>52</v>
      </c>
      <c r="D41" s="4" t="s">
        <v>19</v>
      </c>
      <c r="E41" s="4" t="s">
        <v>11</v>
      </c>
      <c r="F41" s="4"/>
    </row>
    <row r="42" customFormat="false" ht="15" hidden="false" customHeight="false" outlineLevel="0" collapsed="false">
      <c r="A42" s="6" t="n">
        <v>38</v>
      </c>
      <c r="B42" s="6" t="s">
        <v>47</v>
      </c>
      <c r="C42" s="7" t="s">
        <v>53</v>
      </c>
      <c r="D42" s="6" t="s">
        <v>43</v>
      </c>
      <c r="E42" s="6" t="s">
        <v>11</v>
      </c>
      <c r="F42" s="6"/>
    </row>
    <row r="43" customFormat="false" ht="15" hidden="false" customHeight="false" outlineLevel="0" collapsed="false">
      <c r="A43" s="4" t="n">
        <v>39</v>
      </c>
      <c r="B43" s="4" t="s">
        <v>54</v>
      </c>
      <c r="C43" s="5" t="s">
        <v>55</v>
      </c>
      <c r="D43" s="4" t="s">
        <v>10</v>
      </c>
      <c r="E43" s="4" t="s">
        <v>11</v>
      </c>
      <c r="F43" s="4"/>
    </row>
    <row r="44" customFormat="false" ht="15" hidden="false" customHeight="false" outlineLevel="0" collapsed="false">
      <c r="A44" s="6" t="n">
        <v>40</v>
      </c>
      <c r="B44" s="6" t="s">
        <v>54</v>
      </c>
      <c r="C44" s="7" t="s">
        <v>56</v>
      </c>
      <c r="D44" s="6" t="s">
        <v>10</v>
      </c>
      <c r="E44" s="6" t="s">
        <v>11</v>
      </c>
      <c r="F44" s="6"/>
    </row>
    <row r="45" customFormat="false" ht="23.85" hidden="false" customHeight="false" outlineLevel="0" collapsed="false">
      <c r="A45" s="4" t="n">
        <v>41</v>
      </c>
      <c r="B45" s="4" t="s">
        <v>54</v>
      </c>
      <c r="C45" s="5" t="s">
        <v>57</v>
      </c>
      <c r="D45" s="4" t="s">
        <v>10</v>
      </c>
      <c r="E45" s="4" t="s">
        <v>11</v>
      </c>
      <c r="F45" s="4"/>
    </row>
    <row r="46" customFormat="false" ht="15" hidden="false" customHeight="false" outlineLevel="0" collapsed="false">
      <c r="A46" s="6" t="n">
        <v>42</v>
      </c>
      <c r="B46" s="6" t="s">
        <v>54</v>
      </c>
      <c r="C46" s="7" t="s">
        <v>58</v>
      </c>
      <c r="D46" s="6" t="s">
        <v>10</v>
      </c>
      <c r="E46" s="6" t="s">
        <v>11</v>
      </c>
      <c r="F46" s="6"/>
    </row>
    <row r="47" customFormat="false" ht="15" hidden="false" customHeight="false" outlineLevel="0" collapsed="false">
      <c r="A47" s="4" t="n">
        <v>43</v>
      </c>
      <c r="B47" s="4" t="s">
        <v>54</v>
      </c>
      <c r="C47" s="5" t="s">
        <v>59</v>
      </c>
      <c r="D47" s="4" t="s">
        <v>19</v>
      </c>
      <c r="E47" s="4" t="s">
        <v>11</v>
      </c>
      <c r="F47" s="4"/>
    </row>
    <row r="48" customFormat="false" ht="15" hidden="false" customHeight="false" outlineLevel="0" collapsed="false">
      <c r="A48" s="6" t="n">
        <v>44</v>
      </c>
      <c r="B48" s="6" t="s">
        <v>54</v>
      </c>
      <c r="C48" s="7" t="s">
        <v>60</v>
      </c>
      <c r="D48" s="6" t="s">
        <v>19</v>
      </c>
      <c r="E48" s="6" t="s">
        <v>11</v>
      </c>
      <c r="F48" s="6"/>
    </row>
    <row r="49" customFormat="false" ht="15" hidden="false" customHeight="false" outlineLevel="0" collapsed="false">
      <c r="A49" s="4" t="n">
        <v>45</v>
      </c>
      <c r="B49" s="4" t="s">
        <v>54</v>
      </c>
      <c r="C49" s="5" t="s">
        <v>61</v>
      </c>
      <c r="D49" s="4" t="s">
        <v>43</v>
      </c>
      <c r="E49" s="4" t="s">
        <v>11</v>
      </c>
      <c r="F49" s="4"/>
    </row>
    <row r="50" customFormat="false" ht="15" hidden="false" customHeight="false" outlineLevel="0" collapsed="false">
      <c r="A50" s="6" t="n">
        <v>46</v>
      </c>
      <c r="B50" s="6" t="s">
        <v>54</v>
      </c>
      <c r="C50" s="7" t="s">
        <v>62</v>
      </c>
      <c r="D50" s="6" t="s">
        <v>17</v>
      </c>
      <c r="E50" s="6" t="s">
        <v>11</v>
      </c>
      <c r="F50" s="6"/>
    </row>
    <row r="51" customFormat="false" ht="15" hidden="false" customHeight="false" outlineLevel="0" collapsed="false">
      <c r="A51" s="4" t="n">
        <v>47</v>
      </c>
      <c r="B51" s="4" t="s">
        <v>54</v>
      </c>
      <c r="C51" s="5" t="s">
        <v>63</v>
      </c>
      <c r="D51" s="4" t="s">
        <v>17</v>
      </c>
      <c r="E51" s="4" t="s">
        <v>11</v>
      </c>
      <c r="F51" s="4"/>
    </row>
    <row r="52" customFormat="false" ht="15" hidden="false" customHeight="false" outlineLevel="0" collapsed="false">
      <c r="A52" s="6" t="n">
        <v>48</v>
      </c>
      <c r="B52" s="6" t="s">
        <v>54</v>
      </c>
      <c r="C52" s="7" t="s">
        <v>64</v>
      </c>
      <c r="D52" s="6" t="s">
        <v>10</v>
      </c>
      <c r="E52" s="6" t="s">
        <v>11</v>
      </c>
      <c r="F52" s="6"/>
    </row>
    <row r="53" customFormat="false" ht="23.85" hidden="false" customHeight="false" outlineLevel="0" collapsed="false">
      <c r="A53" s="4" t="n">
        <v>49</v>
      </c>
      <c r="B53" s="4" t="s">
        <v>54</v>
      </c>
      <c r="C53" s="5" t="s">
        <v>65</v>
      </c>
      <c r="D53" s="4" t="s">
        <v>17</v>
      </c>
      <c r="E53" s="4" t="s">
        <v>11</v>
      </c>
      <c r="F53" s="4"/>
    </row>
    <row r="54" customFormat="false" ht="15" hidden="false" customHeight="false" outlineLevel="0" collapsed="false">
      <c r="A54" s="6" t="n">
        <v>50</v>
      </c>
      <c r="B54" s="6" t="s">
        <v>54</v>
      </c>
      <c r="C54" s="7" t="s">
        <v>66</v>
      </c>
      <c r="D54" s="6" t="s">
        <v>19</v>
      </c>
      <c r="E54" s="6" t="s">
        <v>11</v>
      </c>
      <c r="F54" s="6"/>
    </row>
    <row r="55" customFormat="false" ht="23.85" hidden="false" customHeight="false" outlineLevel="0" collapsed="false">
      <c r="A55" s="4" t="n">
        <v>51</v>
      </c>
      <c r="B55" s="4" t="s">
        <v>67</v>
      </c>
      <c r="C55" s="5" t="s">
        <v>68</v>
      </c>
      <c r="D55" s="4" t="s">
        <v>10</v>
      </c>
      <c r="E55" s="4" t="s">
        <v>11</v>
      </c>
      <c r="F55" s="4"/>
    </row>
    <row r="56" customFormat="false" ht="23.85" hidden="false" customHeight="false" outlineLevel="0" collapsed="false">
      <c r="A56" s="6" t="n">
        <v>52</v>
      </c>
      <c r="B56" s="6" t="s">
        <v>67</v>
      </c>
      <c r="C56" s="7" t="s">
        <v>69</v>
      </c>
      <c r="D56" s="6" t="s">
        <v>10</v>
      </c>
      <c r="E56" s="6" t="s">
        <v>11</v>
      </c>
      <c r="F56" s="6"/>
    </row>
    <row r="57" customFormat="false" ht="23.85" hidden="false" customHeight="false" outlineLevel="0" collapsed="false">
      <c r="A57" s="4" t="n">
        <v>53</v>
      </c>
      <c r="B57" s="4" t="s">
        <v>67</v>
      </c>
      <c r="C57" s="5" t="s">
        <v>70</v>
      </c>
      <c r="D57" s="4" t="s">
        <v>10</v>
      </c>
      <c r="E57" s="4" t="s">
        <v>11</v>
      </c>
      <c r="F57" s="4"/>
    </row>
    <row r="58" customFormat="false" ht="15" hidden="false" customHeight="false" outlineLevel="0" collapsed="false">
      <c r="A58" s="6" t="n">
        <v>54</v>
      </c>
      <c r="B58" s="6" t="s">
        <v>67</v>
      </c>
      <c r="C58" s="7" t="s">
        <v>71</v>
      </c>
      <c r="D58" s="6" t="s">
        <v>10</v>
      </c>
      <c r="E58" s="6" t="s">
        <v>11</v>
      </c>
      <c r="F58" s="6"/>
    </row>
    <row r="59" customFormat="false" ht="15" hidden="false" customHeight="false" outlineLevel="0" collapsed="false">
      <c r="A59" s="4" t="n">
        <v>55</v>
      </c>
      <c r="B59" s="4" t="s">
        <v>67</v>
      </c>
      <c r="C59" s="5" t="s">
        <v>72</v>
      </c>
      <c r="D59" s="4" t="s">
        <v>17</v>
      </c>
      <c r="E59" s="4" t="s">
        <v>11</v>
      </c>
      <c r="F59" s="4"/>
    </row>
    <row r="60" customFormat="false" ht="15" hidden="false" customHeight="false" outlineLevel="0" collapsed="false">
      <c r="A60" s="6" t="n">
        <v>56</v>
      </c>
      <c r="B60" s="6" t="s">
        <v>67</v>
      </c>
      <c r="C60" s="7" t="s">
        <v>73</v>
      </c>
      <c r="D60" s="6" t="s">
        <v>10</v>
      </c>
      <c r="E60" s="6" t="s">
        <v>11</v>
      </c>
      <c r="F60" s="6"/>
    </row>
    <row r="61" customFormat="false" ht="15" hidden="false" customHeight="false" outlineLevel="0" collapsed="false">
      <c r="A61" s="4" t="n">
        <v>57</v>
      </c>
      <c r="B61" s="4" t="s">
        <v>67</v>
      </c>
      <c r="C61" s="5" t="s">
        <v>74</v>
      </c>
      <c r="D61" s="4" t="s">
        <v>10</v>
      </c>
      <c r="E61" s="4" t="s">
        <v>11</v>
      </c>
      <c r="F61" s="4"/>
    </row>
    <row r="62" customFormat="false" ht="15" hidden="false" customHeight="false" outlineLevel="0" collapsed="false">
      <c r="A62" s="6" t="n">
        <v>58</v>
      </c>
      <c r="B62" s="6" t="s">
        <v>67</v>
      </c>
      <c r="C62" s="7" t="s">
        <v>75</v>
      </c>
      <c r="D62" s="6" t="s">
        <v>19</v>
      </c>
      <c r="E62" s="6" t="s">
        <v>11</v>
      </c>
      <c r="F62" s="6"/>
    </row>
    <row r="63" customFormat="false" ht="15" hidden="false" customHeight="false" outlineLevel="0" collapsed="false">
      <c r="A63" s="4" t="n">
        <v>59</v>
      </c>
      <c r="B63" s="4" t="s">
        <v>67</v>
      </c>
      <c r="C63" s="5" t="s">
        <v>76</v>
      </c>
      <c r="D63" s="4" t="s">
        <v>17</v>
      </c>
      <c r="E63" s="4" t="s">
        <v>11</v>
      </c>
      <c r="F63" s="4"/>
    </row>
    <row r="64" customFormat="false" ht="23.85" hidden="false" customHeight="false" outlineLevel="0" collapsed="false">
      <c r="A64" s="6" t="n">
        <v>60</v>
      </c>
      <c r="B64" s="6" t="s">
        <v>67</v>
      </c>
      <c r="C64" s="7" t="s">
        <v>77</v>
      </c>
      <c r="D64" s="6" t="s">
        <v>10</v>
      </c>
      <c r="E64" s="6" t="s">
        <v>11</v>
      </c>
      <c r="F64" s="6"/>
    </row>
    <row r="65" customFormat="false" ht="15" hidden="false" customHeight="false" outlineLevel="0" collapsed="false">
      <c r="A65" s="4" t="n">
        <v>61</v>
      </c>
      <c r="B65" s="4" t="s">
        <v>67</v>
      </c>
      <c r="C65" s="5" t="s">
        <v>78</v>
      </c>
      <c r="D65" s="4" t="s">
        <v>19</v>
      </c>
      <c r="E65" s="4" t="s">
        <v>11</v>
      </c>
      <c r="F65" s="4"/>
    </row>
    <row r="66" customFormat="false" ht="15" hidden="false" customHeight="false" outlineLevel="0" collapsed="false">
      <c r="A66" s="6" t="n">
        <v>62</v>
      </c>
      <c r="B66" s="6" t="s">
        <v>79</v>
      </c>
      <c r="C66" s="7" t="s">
        <v>80</v>
      </c>
      <c r="D66" s="6" t="s">
        <v>10</v>
      </c>
      <c r="E66" s="6" t="s">
        <v>11</v>
      </c>
      <c r="F66" s="6"/>
    </row>
    <row r="67" customFormat="false" ht="15" hidden="false" customHeight="false" outlineLevel="0" collapsed="false">
      <c r="A67" s="4" t="n">
        <v>63</v>
      </c>
      <c r="B67" s="4" t="s">
        <v>79</v>
      </c>
      <c r="C67" s="5" t="s">
        <v>81</v>
      </c>
      <c r="D67" s="4" t="s">
        <v>10</v>
      </c>
      <c r="E67" s="4" t="s">
        <v>11</v>
      </c>
      <c r="F67" s="4"/>
    </row>
    <row r="68" customFormat="false" ht="15" hidden="false" customHeight="false" outlineLevel="0" collapsed="false">
      <c r="A68" s="6" t="n">
        <v>64</v>
      </c>
      <c r="B68" s="6" t="s">
        <v>79</v>
      </c>
      <c r="C68" s="7" t="s">
        <v>82</v>
      </c>
      <c r="D68" s="6" t="s">
        <v>10</v>
      </c>
      <c r="E68" s="6" t="s">
        <v>11</v>
      </c>
      <c r="F68" s="6"/>
    </row>
    <row r="69" customFormat="false" ht="15" hidden="false" customHeight="false" outlineLevel="0" collapsed="false">
      <c r="A69" s="4" t="n">
        <v>65</v>
      </c>
      <c r="B69" s="4" t="s">
        <v>79</v>
      </c>
      <c r="C69" s="5" t="s">
        <v>83</v>
      </c>
      <c r="D69" s="4" t="s">
        <v>17</v>
      </c>
      <c r="E69" s="4" t="s">
        <v>11</v>
      </c>
      <c r="F69" s="4"/>
    </row>
    <row r="70" customFormat="false" ht="15" hidden="false" customHeight="false" outlineLevel="0" collapsed="false">
      <c r="A70" s="6" t="n">
        <v>66</v>
      </c>
      <c r="B70" s="6" t="s">
        <v>79</v>
      </c>
      <c r="C70" s="7" t="s">
        <v>84</v>
      </c>
      <c r="D70" s="6" t="s">
        <v>17</v>
      </c>
      <c r="E70" s="6" t="s">
        <v>11</v>
      </c>
      <c r="F70" s="6"/>
    </row>
    <row r="71" customFormat="false" ht="15" hidden="false" customHeight="false" outlineLevel="0" collapsed="false">
      <c r="A71" s="4" t="n">
        <v>67</v>
      </c>
      <c r="B71" s="4" t="s">
        <v>79</v>
      </c>
      <c r="C71" s="5" t="s">
        <v>85</v>
      </c>
      <c r="D71" s="4" t="s">
        <v>17</v>
      </c>
      <c r="E71" s="4" t="s">
        <v>11</v>
      </c>
      <c r="F71" s="4"/>
    </row>
    <row r="72" customFormat="false" ht="15" hidden="false" customHeight="false" outlineLevel="0" collapsed="false">
      <c r="A72" s="6" t="n">
        <v>68</v>
      </c>
      <c r="B72" s="6" t="s">
        <v>79</v>
      </c>
      <c r="C72" s="7" t="s">
        <v>86</v>
      </c>
      <c r="D72" s="6" t="s">
        <v>17</v>
      </c>
      <c r="E72" s="6" t="s">
        <v>11</v>
      </c>
      <c r="F72" s="6"/>
    </row>
    <row r="73" customFormat="false" ht="15" hidden="false" customHeight="false" outlineLevel="0" collapsed="false">
      <c r="A73" s="4" t="n">
        <v>69</v>
      </c>
      <c r="B73" s="4" t="s">
        <v>79</v>
      </c>
      <c r="C73" s="5" t="s">
        <v>87</v>
      </c>
      <c r="D73" s="4" t="s">
        <v>17</v>
      </c>
      <c r="E73" s="4" t="s">
        <v>11</v>
      </c>
      <c r="F73" s="4"/>
    </row>
    <row r="74" customFormat="false" ht="15" hidden="false" customHeight="false" outlineLevel="0" collapsed="false">
      <c r="A74" s="6" t="n">
        <v>70</v>
      </c>
      <c r="B74" s="6" t="s">
        <v>79</v>
      </c>
      <c r="C74" s="7" t="s">
        <v>88</v>
      </c>
      <c r="D74" s="6" t="s">
        <v>10</v>
      </c>
      <c r="E74" s="6" t="s">
        <v>11</v>
      </c>
      <c r="F74" s="6"/>
    </row>
    <row r="75" customFormat="false" ht="15" hidden="false" customHeight="false" outlineLevel="0" collapsed="false">
      <c r="A75" s="4" t="n">
        <v>71</v>
      </c>
      <c r="B75" s="4" t="s">
        <v>79</v>
      </c>
      <c r="C75" s="5" t="s">
        <v>89</v>
      </c>
      <c r="D75" s="4" t="s">
        <v>19</v>
      </c>
      <c r="E75" s="4" t="s">
        <v>11</v>
      </c>
      <c r="F75" s="4"/>
    </row>
    <row r="76" customFormat="false" ht="15" hidden="false" customHeight="false" outlineLevel="0" collapsed="false">
      <c r="A76" s="6" t="n">
        <v>72</v>
      </c>
      <c r="B76" s="6" t="s">
        <v>90</v>
      </c>
      <c r="C76" s="7" t="s">
        <v>80</v>
      </c>
      <c r="D76" s="6" t="s">
        <v>10</v>
      </c>
      <c r="E76" s="6" t="s">
        <v>11</v>
      </c>
      <c r="F76" s="6"/>
    </row>
    <row r="77" customFormat="false" ht="15" hidden="false" customHeight="false" outlineLevel="0" collapsed="false">
      <c r="A77" s="4" t="n">
        <v>73</v>
      </c>
      <c r="B77" s="4" t="s">
        <v>90</v>
      </c>
      <c r="C77" s="5" t="s">
        <v>91</v>
      </c>
      <c r="D77" s="4" t="s">
        <v>10</v>
      </c>
      <c r="E77" s="4" t="s">
        <v>11</v>
      </c>
      <c r="F77" s="4"/>
    </row>
    <row r="78" customFormat="false" ht="15" hidden="false" customHeight="false" outlineLevel="0" collapsed="false">
      <c r="A78" s="6" t="n">
        <v>74</v>
      </c>
      <c r="B78" s="6" t="s">
        <v>90</v>
      </c>
      <c r="C78" s="7" t="s">
        <v>92</v>
      </c>
      <c r="D78" s="6" t="s">
        <v>10</v>
      </c>
      <c r="E78" s="6" t="s">
        <v>11</v>
      </c>
      <c r="F78" s="6"/>
    </row>
    <row r="79" customFormat="false" ht="15" hidden="false" customHeight="false" outlineLevel="0" collapsed="false">
      <c r="A79" s="4" t="n">
        <v>75</v>
      </c>
      <c r="B79" s="4" t="s">
        <v>90</v>
      </c>
      <c r="C79" s="5" t="s">
        <v>93</v>
      </c>
      <c r="D79" s="4" t="s">
        <v>17</v>
      </c>
      <c r="E79" s="4" t="s">
        <v>11</v>
      </c>
      <c r="F79" s="4"/>
    </row>
    <row r="80" customFormat="false" ht="15" hidden="false" customHeight="false" outlineLevel="0" collapsed="false">
      <c r="A80" s="6" t="n">
        <v>76</v>
      </c>
      <c r="B80" s="6" t="s">
        <v>90</v>
      </c>
      <c r="C80" s="7" t="s">
        <v>94</v>
      </c>
      <c r="D80" s="6" t="s">
        <v>19</v>
      </c>
      <c r="E80" s="6" t="s">
        <v>11</v>
      </c>
      <c r="F80" s="6"/>
    </row>
    <row r="81" customFormat="false" ht="15" hidden="false" customHeight="false" outlineLevel="0" collapsed="false">
      <c r="A81" s="4" t="n">
        <v>77</v>
      </c>
      <c r="B81" s="4" t="s">
        <v>90</v>
      </c>
      <c r="C81" s="5" t="s">
        <v>95</v>
      </c>
      <c r="D81" s="4" t="s">
        <v>19</v>
      </c>
      <c r="E81" s="4" t="s">
        <v>11</v>
      </c>
      <c r="F81" s="4"/>
    </row>
    <row r="82" customFormat="false" ht="15" hidden="false" customHeight="false" outlineLevel="0" collapsed="false">
      <c r="A82" s="6" t="n">
        <v>78</v>
      </c>
      <c r="B82" s="6" t="s">
        <v>90</v>
      </c>
      <c r="C82" s="7" t="s">
        <v>88</v>
      </c>
      <c r="D82" s="6" t="s">
        <v>10</v>
      </c>
      <c r="E82" s="6" t="s">
        <v>11</v>
      </c>
      <c r="F82" s="6"/>
    </row>
    <row r="83" customFormat="false" ht="15" hidden="false" customHeight="false" outlineLevel="0" collapsed="false">
      <c r="A83" s="4" t="n">
        <v>79</v>
      </c>
      <c r="B83" s="4" t="s">
        <v>96</v>
      </c>
      <c r="C83" s="5" t="s">
        <v>80</v>
      </c>
      <c r="D83" s="4" t="s">
        <v>10</v>
      </c>
      <c r="E83" s="4" t="s">
        <v>11</v>
      </c>
      <c r="F83" s="4"/>
    </row>
    <row r="84" customFormat="false" ht="15" hidden="false" customHeight="false" outlineLevel="0" collapsed="false">
      <c r="A84" s="6" t="n">
        <v>80</v>
      </c>
      <c r="B84" s="6" t="s">
        <v>96</v>
      </c>
      <c r="C84" s="7" t="s">
        <v>97</v>
      </c>
      <c r="D84" s="6" t="s">
        <v>10</v>
      </c>
      <c r="E84" s="6" t="s">
        <v>11</v>
      </c>
      <c r="F84" s="6"/>
    </row>
    <row r="85" customFormat="false" ht="15" hidden="false" customHeight="false" outlineLevel="0" collapsed="false">
      <c r="A85" s="4" t="n">
        <v>81</v>
      </c>
      <c r="B85" s="4" t="s">
        <v>96</v>
      </c>
      <c r="C85" s="5" t="s">
        <v>98</v>
      </c>
      <c r="D85" s="4" t="s">
        <v>17</v>
      </c>
      <c r="E85" s="4" t="s">
        <v>11</v>
      </c>
      <c r="F85" s="4"/>
    </row>
    <row r="86" customFormat="false" ht="15" hidden="false" customHeight="false" outlineLevel="0" collapsed="false">
      <c r="A86" s="6" t="n">
        <v>82</v>
      </c>
      <c r="B86" s="6" t="s">
        <v>96</v>
      </c>
      <c r="C86" s="7" t="s">
        <v>88</v>
      </c>
      <c r="D86" s="6" t="s">
        <v>10</v>
      </c>
      <c r="E86" s="6" t="s">
        <v>11</v>
      </c>
      <c r="F86" s="6"/>
    </row>
    <row r="87" customFormat="false" ht="15" hidden="false" customHeight="false" outlineLevel="0" collapsed="false">
      <c r="A87" s="4" t="n">
        <v>83</v>
      </c>
      <c r="B87" s="4" t="s">
        <v>99</v>
      </c>
      <c r="C87" s="5" t="s">
        <v>100</v>
      </c>
      <c r="D87" s="4" t="s">
        <v>10</v>
      </c>
      <c r="E87" s="4" t="s">
        <v>11</v>
      </c>
      <c r="F87" s="4"/>
    </row>
    <row r="88" customFormat="false" ht="23.85" hidden="false" customHeight="false" outlineLevel="0" collapsed="false">
      <c r="A88" s="6" t="n">
        <v>84</v>
      </c>
      <c r="B88" s="6" t="s">
        <v>99</v>
      </c>
      <c r="C88" s="7" t="s">
        <v>101</v>
      </c>
      <c r="D88" s="6" t="s">
        <v>10</v>
      </c>
      <c r="E88" s="6" t="s">
        <v>11</v>
      </c>
      <c r="F88" s="6"/>
    </row>
    <row r="89" customFormat="false" ht="15" hidden="false" customHeight="false" outlineLevel="0" collapsed="false">
      <c r="A89" s="4" t="n">
        <v>85</v>
      </c>
      <c r="B89" s="4" t="s">
        <v>99</v>
      </c>
      <c r="C89" s="5" t="s">
        <v>102</v>
      </c>
      <c r="D89" s="4" t="s">
        <v>10</v>
      </c>
      <c r="E89" s="4" t="s">
        <v>11</v>
      </c>
      <c r="F89" s="4"/>
    </row>
    <row r="90" customFormat="false" ht="15" hidden="false" customHeight="false" outlineLevel="0" collapsed="false">
      <c r="A90" s="6" t="n">
        <v>86</v>
      </c>
      <c r="B90" s="6" t="s">
        <v>99</v>
      </c>
      <c r="C90" s="7" t="s">
        <v>103</v>
      </c>
      <c r="D90" s="6" t="s">
        <v>10</v>
      </c>
      <c r="E90" s="6" t="s">
        <v>11</v>
      </c>
      <c r="F90" s="6"/>
    </row>
    <row r="91" customFormat="false" ht="15" hidden="false" customHeight="false" outlineLevel="0" collapsed="false">
      <c r="A91" s="4" t="n">
        <v>87</v>
      </c>
      <c r="B91" s="4" t="s">
        <v>99</v>
      </c>
      <c r="C91" s="5" t="s">
        <v>104</v>
      </c>
      <c r="D91" s="4" t="s">
        <v>19</v>
      </c>
      <c r="E91" s="4" t="s">
        <v>11</v>
      </c>
      <c r="F91" s="4"/>
    </row>
    <row r="92" customFormat="false" ht="15" hidden="false" customHeight="false" outlineLevel="0" collapsed="false">
      <c r="A92" s="6" t="n">
        <v>88</v>
      </c>
      <c r="B92" s="6" t="s">
        <v>99</v>
      </c>
      <c r="C92" s="7" t="s">
        <v>105</v>
      </c>
      <c r="D92" s="6" t="s">
        <v>19</v>
      </c>
      <c r="E92" s="6" t="s">
        <v>11</v>
      </c>
      <c r="F92" s="6"/>
    </row>
    <row r="93" customFormat="false" ht="15" hidden="false" customHeight="false" outlineLevel="0" collapsed="false">
      <c r="A93" s="4" t="n">
        <v>89</v>
      </c>
      <c r="B93" s="4" t="s">
        <v>106</v>
      </c>
      <c r="C93" s="5" t="s">
        <v>107</v>
      </c>
      <c r="D93" s="4" t="s">
        <v>17</v>
      </c>
      <c r="E93" s="4" t="s">
        <v>11</v>
      </c>
      <c r="F93" s="4"/>
    </row>
    <row r="94" customFormat="false" ht="23.85" hidden="false" customHeight="false" outlineLevel="0" collapsed="false">
      <c r="A94" s="6" t="n">
        <v>90</v>
      </c>
      <c r="B94" s="6" t="s">
        <v>106</v>
      </c>
      <c r="C94" s="7" t="s">
        <v>108</v>
      </c>
      <c r="D94" s="6" t="s">
        <v>17</v>
      </c>
      <c r="E94" s="6" t="s">
        <v>11</v>
      </c>
      <c r="F94" s="6"/>
    </row>
    <row r="95" customFormat="false" ht="15" hidden="false" customHeight="false" outlineLevel="0" collapsed="false">
      <c r="A95" s="4" t="n">
        <v>91</v>
      </c>
      <c r="B95" s="4" t="s">
        <v>106</v>
      </c>
      <c r="C95" s="5" t="s">
        <v>109</v>
      </c>
      <c r="D95" s="4" t="s">
        <v>17</v>
      </c>
      <c r="E95" s="4" t="s">
        <v>11</v>
      </c>
      <c r="F95" s="4"/>
    </row>
    <row r="96" customFormat="false" ht="23.85" hidden="false" customHeight="false" outlineLevel="0" collapsed="false">
      <c r="A96" s="6" t="n">
        <v>92</v>
      </c>
      <c r="B96" s="6" t="s">
        <v>106</v>
      </c>
      <c r="C96" s="7" t="s">
        <v>110</v>
      </c>
      <c r="D96" s="6" t="s">
        <v>19</v>
      </c>
      <c r="E96" s="6" t="s">
        <v>11</v>
      </c>
      <c r="F96" s="6"/>
    </row>
    <row r="97" customFormat="false" ht="15" hidden="false" customHeight="false" outlineLevel="0" collapsed="false">
      <c r="A97" s="4" t="n">
        <v>93</v>
      </c>
      <c r="B97" s="4" t="s">
        <v>106</v>
      </c>
      <c r="C97" s="5" t="s">
        <v>111</v>
      </c>
      <c r="D97" s="4" t="s">
        <v>19</v>
      </c>
      <c r="E97" s="4" t="s">
        <v>11</v>
      </c>
      <c r="F97" s="4"/>
    </row>
    <row r="98" customFormat="false" ht="15" hidden="false" customHeight="false" outlineLevel="0" collapsed="false">
      <c r="A98" s="6" t="n">
        <v>94</v>
      </c>
      <c r="B98" s="6" t="s">
        <v>112</v>
      </c>
      <c r="C98" s="7" t="s">
        <v>113</v>
      </c>
      <c r="D98" s="6" t="s">
        <v>10</v>
      </c>
      <c r="E98" s="6" t="s">
        <v>11</v>
      </c>
      <c r="F98" s="6"/>
    </row>
    <row r="99" customFormat="false" ht="23.85" hidden="false" customHeight="false" outlineLevel="0" collapsed="false">
      <c r="A99" s="4" t="n">
        <v>95</v>
      </c>
      <c r="B99" s="4" t="s">
        <v>112</v>
      </c>
      <c r="C99" s="5" t="s">
        <v>114</v>
      </c>
      <c r="D99" s="4" t="s">
        <v>17</v>
      </c>
      <c r="E99" s="4" t="s">
        <v>11</v>
      </c>
      <c r="F99" s="4"/>
    </row>
    <row r="100" customFormat="false" ht="15" hidden="false" customHeight="false" outlineLevel="0" collapsed="false">
      <c r="A100" s="6" t="n">
        <v>96</v>
      </c>
      <c r="B100" s="6" t="s">
        <v>112</v>
      </c>
      <c r="C100" s="7" t="s">
        <v>115</v>
      </c>
      <c r="D100" s="6" t="s">
        <v>10</v>
      </c>
      <c r="E100" s="6" t="s">
        <v>11</v>
      </c>
      <c r="F100" s="6"/>
    </row>
    <row r="101" customFormat="false" ht="15" hidden="false" customHeight="false" outlineLevel="0" collapsed="false">
      <c r="A101" s="4" t="n">
        <v>97</v>
      </c>
      <c r="B101" s="4" t="s">
        <v>112</v>
      </c>
      <c r="C101" s="5" t="s">
        <v>116</v>
      </c>
      <c r="D101" s="4" t="s">
        <v>10</v>
      </c>
      <c r="E101" s="4" t="s">
        <v>11</v>
      </c>
      <c r="F101" s="4"/>
    </row>
  </sheetData>
  <autoFilter ref="A4:F101"/>
  <mergeCells count="2">
    <mergeCell ref="A1:F1"/>
    <mergeCell ref="A2:F2"/>
  </mergeCells>
  <conditionalFormatting sqref="E5:E10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"In Progress"</formula>
    </cfRule>
    <cfRule type="cellIs" priority="6" operator="equal" aboveAverage="0" equalAverage="0" bottom="0" percent="0" rank="0" text="" dxfId="8">
      <formula>"Not Started"</formula>
    </cfRule>
  </conditionalFormatting>
  <conditionalFormatting sqref="D5:D101">
    <cfRule type="cellIs" priority="7" operator="equal" aboveAverage="0" equalAverage="0" bottom="0" percent="0" rank="0" text="" dxfId="9">
      <formula>"Critical"</formula>
    </cfRule>
  </conditionalFormatting>
  <dataValidations count="2">
    <dataValidation allowBlank="true" error="Pick a value from the list." errorStyle="stop" errorTitle="Invalid status" operator="between" showDropDown="false" showErrorMessage="false" showInputMessage="false" sqref="E5:E101" type="list">
      <formula1>"Not Started,In Progress,Pass,Fail,Blocked,N/A"</formula1>
      <formula2>0</formula2>
    </dataValidation>
    <dataValidation allowBlank="true" errorStyle="stop" operator="between" showDropDown="false" showErrorMessage="false" showInputMessage="false" sqref="D5:D101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8" t="s">
        <v>3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11</v>
      </c>
      <c r="G1" s="8" t="s">
        <v>121</v>
      </c>
      <c r="H1" s="8" t="s">
        <v>122</v>
      </c>
    </row>
    <row r="2" customFormat="false" ht="15" hidden="false" customHeight="false" outlineLevel="0" collapsed="false">
      <c r="A2" s="9" t="s">
        <v>8</v>
      </c>
      <c r="B2" s="9" t="n">
        <f aca="false">COUNTIF('Testing Checklist'!$B$5:$B$101,A2)</f>
        <v>9</v>
      </c>
      <c r="C2" s="9" t="n">
        <f aca="false">SUMPRODUCT(('Testing Checklist'!$B$5:$B$101=A2)*('Testing Checklist'!$E$5:$E$101="Pass"))</f>
        <v>0</v>
      </c>
      <c r="D2" s="9" t="n">
        <f aca="false">SUMPRODUCT(('Testing Checklist'!$B$5:$B$101=A2)*('Testing Checklist'!$E$5:$E$101="Fail"))</f>
        <v>0</v>
      </c>
      <c r="E2" s="9" t="n">
        <f aca="false">SUMPRODUCT(('Testing Checklist'!$B$5:$B$101=A2)*('Testing Checklist'!$E$5:$E$101="In Progress"))</f>
        <v>0</v>
      </c>
      <c r="F2" s="9" t="n">
        <f aca="false">SUMPRODUCT(('Testing Checklist'!$B$5:$B$101=A2)*('Testing Checklist'!$E$5:$E$101="Not Started"))</f>
        <v>9</v>
      </c>
      <c r="G2" s="9" t="n">
        <f aca="false">SUMPRODUCT(('Testing Checklist'!$B$5:$B$101=A2)*('Testing Checklist'!$E$5:$E$101="Blocked"))</f>
        <v>0</v>
      </c>
      <c r="H2" s="9" t="n">
        <f aca="false">SUMPRODUCT(('Testing Checklist'!$B$5:$B$101=A2)*('Testing Checklist'!$E$5:$E$101="N/A"))</f>
        <v>0</v>
      </c>
    </row>
    <row r="3" customFormat="false" ht="15" hidden="false" customHeight="false" outlineLevel="0" collapsed="false">
      <c r="A3" s="9" t="s">
        <v>22</v>
      </c>
      <c r="B3" s="9" t="n">
        <f aca="false">COUNTIF('Testing Checklist'!$B$5:$B$101,A3)</f>
        <v>7</v>
      </c>
      <c r="C3" s="9" t="n">
        <f aca="false">SUMPRODUCT(('Testing Checklist'!$B$5:$B$101=A3)*('Testing Checklist'!$E$5:$E$101="Pass"))</f>
        <v>0</v>
      </c>
      <c r="D3" s="9" t="n">
        <f aca="false">SUMPRODUCT(('Testing Checklist'!$B$5:$B$101=A3)*('Testing Checklist'!$E$5:$E$101="Fail"))</f>
        <v>0</v>
      </c>
      <c r="E3" s="9" t="n">
        <f aca="false">SUMPRODUCT(('Testing Checklist'!$B$5:$B$101=A3)*('Testing Checklist'!$E$5:$E$101="In Progress"))</f>
        <v>0</v>
      </c>
      <c r="F3" s="9" t="n">
        <f aca="false">SUMPRODUCT(('Testing Checklist'!$B$5:$B$101=A3)*('Testing Checklist'!$E$5:$E$101="Not Started"))</f>
        <v>7</v>
      </c>
      <c r="G3" s="9" t="n">
        <f aca="false">SUMPRODUCT(('Testing Checklist'!$B$5:$B$101=A3)*('Testing Checklist'!$E$5:$E$101="Blocked"))</f>
        <v>0</v>
      </c>
      <c r="H3" s="9" t="n">
        <f aca="false">SUMPRODUCT(('Testing Checklist'!$B$5:$B$101=A3)*('Testing Checklist'!$E$5:$E$101="N/A"))</f>
        <v>0</v>
      </c>
    </row>
    <row r="4" customFormat="false" ht="15" hidden="false" customHeight="false" outlineLevel="0" collapsed="false">
      <c r="A4" s="9" t="s">
        <v>30</v>
      </c>
      <c r="B4" s="9" t="n">
        <f aca="false">COUNTIF('Testing Checklist'!$B$5:$B$101,A4)</f>
        <v>8</v>
      </c>
      <c r="C4" s="9" t="n">
        <f aca="false">SUMPRODUCT(('Testing Checklist'!$B$5:$B$101=A4)*('Testing Checklist'!$E$5:$E$101="Pass"))</f>
        <v>0</v>
      </c>
      <c r="D4" s="9" t="n">
        <f aca="false">SUMPRODUCT(('Testing Checklist'!$B$5:$B$101=A4)*('Testing Checklist'!$E$5:$E$101="Fail"))</f>
        <v>0</v>
      </c>
      <c r="E4" s="9" t="n">
        <f aca="false">SUMPRODUCT(('Testing Checklist'!$B$5:$B$101=A4)*('Testing Checklist'!$E$5:$E$101="In Progress"))</f>
        <v>0</v>
      </c>
      <c r="F4" s="9" t="n">
        <f aca="false">SUMPRODUCT(('Testing Checklist'!$B$5:$B$101=A4)*('Testing Checklist'!$E$5:$E$101="Not Started"))</f>
        <v>8</v>
      </c>
      <c r="G4" s="9" t="n">
        <f aca="false">SUMPRODUCT(('Testing Checklist'!$B$5:$B$101=A4)*('Testing Checklist'!$E$5:$E$101="Blocked"))</f>
        <v>0</v>
      </c>
      <c r="H4" s="9" t="n">
        <f aca="false">SUMPRODUCT(('Testing Checklist'!$B$5:$B$101=A4)*('Testing Checklist'!$E$5:$E$101="N/A"))</f>
        <v>0</v>
      </c>
    </row>
    <row r="5" customFormat="false" ht="15" hidden="false" customHeight="false" outlineLevel="0" collapsed="false">
      <c r="A5" s="9" t="s">
        <v>39</v>
      </c>
      <c r="B5" s="9" t="n">
        <f aca="false">COUNTIF('Testing Checklist'!$B$5:$B$101,A5)</f>
        <v>8</v>
      </c>
      <c r="C5" s="9" t="n">
        <f aca="false">SUMPRODUCT(('Testing Checklist'!$B$5:$B$101=A5)*('Testing Checklist'!$E$5:$E$101="Pass"))</f>
        <v>0</v>
      </c>
      <c r="D5" s="9" t="n">
        <f aca="false">SUMPRODUCT(('Testing Checklist'!$B$5:$B$101=A5)*('Testing Checklist'!$E$5:$E$101="Fail"))</f>
        <v>0</v>
      </c>
      <c r="E5" s="9" t="n">
        <f aca="false">SUMPRODUCT(('Testing Checklist'!$B$5:$B$101=A5)*('Testing Checklist'!$E$5:$E$101="In Progress"))</f>
        <v>0</v>
      </c>
      <c r="F5" s="9" t="n">
        <f aca="false">SUMPRODUCT(('Testing Checklist'!$B$5:$B$101=A5)*('Testing Checklist'!$E$5:$E$101="Not Started"))</f>
        <v>8</v>
      </c>
      <c r="G5" s="9" t="n">
        <f aca="false">SUMPRODUCT(('Testing Checklist'!$B$5:$B$101=A5)*('Testing Checklist'!$E$5:$E$101="Blocked"))</f>
        <v>0</v>
      </c>
      <c r="H5" s="9" t="n">
        <f aca="false">SUMPRODUCT(('Testing Checklist'!$B$5:$B$101=A5)*('Testing Checklist'!$E$5:$E$101="N/A"))</f>
        <v>0</v>
      </c>
    </row>
    <row r="6" customFormat="false" ht="15" hidden="false" customHeight="false" outlineLevel="0" collapsed="false">
      <c r="A6" s="9" t="s">
        <v>47</v>
      </c>
      <c r="B6" s="9" t="n">
        <f aca="false">COUNTIF('Testing Checklist'!$B$5:$B$101,A6)</f>
        <v>6</v>
      </c>
      <c r="C6" s="9" t="n">
        <f aca="false">SUMPRODUCT(('Testing Checklist'!$B$5:$B$101=A6)*('Testing Checklist'!$E$5:$E$101="Pass"))</f>
        <v>0</v>
      </c>
      <c r="D6" s="9" t="n">
        <f aca="false">SUMPRODUCT(('Testing Checklist'!$B$5:$B$101=A6)*('Testing Checklist'!$E$5:$E$101="Fail"))</f>
        <v>0</v>
      </c>
      <c r="E6" s="9" t="n">
        <f aca="false">SUMPRODUCT(('Testing Checklist'!$B$5:$B$101=A6)*('Testing Checklist'!$E$5:$E$101="In Progress"))</f>
        <v>0</v>
      </c>
      <c r="F6" s="9" t="n">
        <f aca="false">SUMPRODUCT(('Testing Checklist'!$B$5:$B$101=A6)*('Testing Checklist'!$E$5:$E$101="Not Started"))</f>
        <v>6</v>
      </c>
      <c r="G6" s="9" t="n">
        <f aca="false">SUMPRODUCT(('Testing Checklist'!$B$5:$B$101=A6)*('Testing Checklist'!$E$5:$E$101="Blocked"))</f>
        <v>0</v>
      </c>
      <c r="H6" s="9" t="n">
        <f aca="false">SUMPRODUCT(('Testing Checklist'!$B$5:$B$101=A6)*('Testing Checklist'!$E$5:$E$101="N/A"))</f>
        <v>0</v>
      </c>
    </row>
    <row r="7" customFormat="false" ht="15" hidden="false" customHeight="false" outlineLevel="0" collapsed="false">
      <c r="A7" s="9" t="s">
        <v>54</v>
      </c>
      <c r="B7" s="9" t="n">
        <f aca="false">COUNTIF('Testing Checklist'!$B$5:$B$101,A7)</f>
        <v>12</v>
      </c>
      <c r="C7" s="9" t="n">
        <f aca="false">SUMPRODUCT(('Testing Checklist'!$B$5:$B$101=A7)*('Testing Checklist'!$E$5:$E$101="Pass"))</f>
        <v>0</v>
      </c>
      <c r="D7" s="9" t="n">
        <f aca="false">SUMPRODUCT(('Testing Checklist'!$B$5:$B$101=A7)*('Testing Checklist'!$E$5:$E$101="Fail"))</f>
        <v>0</v>
      </c>
      <c r="E7" s="9" t="n">
        <f aca="false">SUMPRODUCT(('Testing Checklist'!$B$5:$B$101=A7)*('Testing Checklist'!$E$5:$E$101="In Progress"))</f>
        <v>0</v>
      </c>
      <c r="F7" s="9" t="n">
        <f aca="false">SUMPRODUCT(('Testing Checklist'!$B$5:$B$101=A7)*('Testing Checklist'!$E$5:$E$101="Not Started"))</f>
        <v>12</v>
      </c>
      <c r="G7" s="9" t="n">
        <f aca="false">SUMPRODUCT(('Testing Checklist'!$B$5:$B$101=A7)*('Testing Checklist'!$E$5:$E$101="Blocked"))</f>
        <v>0</v>
      </c>
      <c r="H7" s="9" t="n">
        <f aca="false">SUMPRODUCT(('Testing Checklist'!$B$5:$B$101=A7)*('Testing Checklist'!$E$5:$E$101="N/A"))</f>
        <v>0</v>
      </c>
    </row>
    <row r="8" customFormat="false" ht="15" hidden="false" customHeight="false" outlineLevel="0" collapsed="false">
      <c r="A8" s="9" t="s">
        <v>67</v>
      </c>
      <c r="B8" s="9" t="n">
        <f aca="false">COUNTIF('Testing Checklist'!$B$5:$B$101,A8)</f>
        <v>11</v>
      </c>
      <c r="C8" s="9" t="n">
        <f aca="false">SUMPRODUCT(('Testing Checklist'!$B$5:$B$101=A8)*('Testing Checklist'!$E$5:$E$101="Pass"))</f>
        <v>0</v>
      </c>
      <c r="D8" s="9" t="n">
        <f aca="false">SUMPRODUCT(('Testing Checklist'!$B$5:$B$101=A8)*('Testing Checklist'!$E$5:$E$101="Fail"))</f>
        <v>0</v>
      </c>
      <c r="E8" s="9" t="n">
        <f aca="false">SUMPRODUCT(('Testing Checklist'!$B$5:$B$101=A8)*('Testing Checklist'!$E$5:$E$101="In Progress"))</f>
        <v>0</v>
      </c>
      <c r="F8" s="9" t="n">
        <f aca="false">SUMPRODUCT(('Testing Checklist'!$B$5:$B$101=A8)*('Testing Checklist'!$E$5:$E$101="Not Started"))</f>
        <v>11</v>
      </c>
      <c r="G8" s="9" t="n">
        <f aca="false">SUMPRODUCT(('Testing Checklist'!$B$5:$B$101=A8)*('Testing Checklist'!$E$5:$E$101="Blocked"))</f>
        <v>0</v>
      </c>
      <c r="H8" s="9" t="n">
        <f aca="false">SUMPRODUCT(('Testing Checklist'!$B$5:$B$101=A8)*('Testing Checklist'!$E$5:$E$101="N/A"))</f>
        <v>0</v>
      </c>
    </row>
    <row r="9" customFormat="false" ht="15" hidden="false" customHeight="false" outlineLevel="0" collapsed="false">
      <c r="A9" s="9" t="s">
        <v>79</v>
      </c>
      <c r="B9" s="9" t="n">
        <f aca="false">COUNTIF('Testing Checklist'!$B$5:$B$101,A9)</f>
        <v>10</v>
      </c>
      <c r="C9" s="9" t="n">
        <f aca="false">SUMPRODUCT(('Testing Checklist'!$B$5:$B$101=A9)*('Testing Checklist'!$E$5:$E$101="Pass"))</f>
        <v>0</v>
      </c>
      <c r="D9" s="9" t="n">
        <f aca="false">SUMPRODUCT(('Testing Checklist'!$B$5:$B$101=A9)*('Testing Checklist'!$E$5:$E$101="Fail"))</f>
        <v>0</v>
      </c>
      <c r="E9" s="9" t="n">
        <f aca="false">SUMPRODUCT(('Testing Checklist'!$B$5:$B$101=A9)*('Testing Checklist'!$E$5:$E$101="In Progress"))</f>
        <v>0</v>
      </c>
      <c r="F9" s="9" t="n">
        <f aca="false">SUMPRODUCT(('Testing Checklist'!$B$5:$B$101=A9)*('Testing Checklist'!$E$5:$E$101="Not Started"))</f>
        <v>10</v>
      </c>
      <c r="G9" s="9" t="n">
        <f aca="false">SUMPRODUCT(('Testing Checklist'!$B$5:$B$101=A9)*('Testing Checklist'!$E$5:$E$101="Blocked"))</f>
        <v>0</v>
      </c>
      <c r="H9" s="9" t="n">
        <f aca="false">SUMPRODUCT(('Testing Checklist'!$B$5:$B$101=A9)*('Testing Checklist'!$E$5:$E$101="N/A"))</f>
        <v>0</v>
      </c>
    </row>
    <row r="10" customFormat="false" ht="15" hidden="false" customHeight="false" outlineLevel="0" collapsed="false">
      <c r="A10" s="9" t="s">
        <v>90</v>
      </c>
      <c r="B10" s="9" t="n">
        <f aca="false">COUNTIF('Testing Checklist'!$B$5:$B$101,A10)</f>
        <v>7</v>
      </c>
      <c r="C10" s="9" t="n">
        <f aca="false">SUMPRODUCT(('Testing Checklist'!$B$5:$B$101=A10)*('Testing Checklist'!$E$5:$E$101="Pass"))</f>
        <v>0</v>
      </c>
      <c r="D10" s="9" t="n">
        <f aca="false">SUMPRODUCT(('Testing Checklist'!$B$5:$B$101=A10)*('Testing Checklist'!$E$5:$E$101="Fail"))</f>
        <v>0</v>
      </c>
      <c r="E10" s="9" t="n">
        <f aca="false">SUMPRODUCT(('Testing Checklist'!$B$5:$B$101=A10)*('Testing Checklist'!$E$5:$E$101="In Progress"))</f>
        <v>0</v>
      </c>
      <c r="F10" s="9" t="n">
        <f aca="false">SUMPRODUCT(('Testing Checklist'!$B$5:$B$101=A10)*('Testing Checklist'!$E$5:$E$101="Not Started"))</f>
        <v>7</v>
      </c>
      <c r="G10" s="9" t="n">
        <f aca="false">SUMPRODUCT(('Testing Checklist'!$B$5:$B$101=A10)*('Testing Checklist'!$E$5:$E$101="Blocked"))</f>
        <v>0</v>
      </c>
      <c r="H10" s="9" t="n">
        <f aca="false">SUMPRODUCT(('Testing Checklist'!$B$5:$B$101=A10)*('Testing Checklist'!$E$5:$E$101="N/A"))</f>
        <v>0</v>
      </c>
    </row>
    <row r="11" customFormat="false" ht="15" hidden="false" customHeight="false" outlineLevel="0" collapsed="false">
      <c r="A11" s="9" t="s">
        <v>96</v>
      </c>
      <c r="B11" s="9" t="n">
        <f aca="false">COUNTIF('Testing Checklist'!$B$5:$B$101,A11)</f>
        <v>4</v>
      </c>
      <c r="C11" s="9" t="n">
        <f aca="false">SUMPRODUCT(('Testing Checklist'!$B$5:$B$101=A11)*('Testing Checklist'!$E$5:$E$101="Pass"))</f>
        <v>0</v>
      </c>
      <c r="D11" s="9" t="n">
        <f aca="false">SUMPRODUCT(('Testing Checklist'!$B$5:$B$101=A11)*('Testing Checklist'!$E$5:$E$101="Fail"))</f>
        <v>0</v>
      </c>
      <c r="E11" s="9" t="n">
        <f aca="false">SUMPRODUCT(('Testing Checklist'!$B$5:$B$101=A11)*('Testing Checklist'!$E$5:$E$101="In Progress"))</f>
        <v>0</v>
      </c>
      <c r="F11" s="9" t="n">
        <f aca="false">SUMPRODUCT(('Testing Checklist'!$B$5:$B$101=A11)*('Testing Checklist'!$E$5:$E$101="Not Started"))</f>
        <v>4</v>
      </c>
      <c r="G11" s="9" t="n">
        <f aca="false">SUMPRODUCT(('Testing Checklist'!$B$5:$B$101=A11)*('Testing Checklist'!$E$5:$E$101="Blocked"))</f>
        <v>0</v>
      </c>
      <c r="H11" s="9" t="n">
        <f aca="false">SUMPRODUCT(('Testing Checklist'!$B$5:$B$101=A11)*('Testing Checklist'!$E$5:$E$101="N/A"))</f>
        <v>0</v>
      </c>
    </row>
    <row r="12" customFormat="false" ht="15" hidden="false" customHeight="false" outlineLevel="0" collapsed="false">
      <c r="A12" s="9" t="s">
        <v>99</v>
      </c>
      <c r="B12" s="9" t="n">
        <f aca="false">COUNTIF('Testing Checklist'!$B$5:$B$101,A12)</f>
        <v>6</v>
      </c>
      <c r="C12" s="9" t="n">
        <f aca="false">SUMPRODUCT(('Testing Checklist'!$B$5:$B$101=A12)*('Testing Checklist'!$E$5:$E$101="Pass"))</f>
        <v>0</v>
      </c>
      <c r="D12" s="9" t="n">
        <f aca="false">SUMPRODUCT(('Testing Checklist'!$B$5:$B$101=A12)*('Testing Checklist'!$E$5:$E$101="Fail"))</f>
        <v>0</v>
      </c>
      <c r="E12" s="9" t="n">
        <f aca="false">SUMPRODUCT(('Testing Checklist'!$B$5:$B$101=A12)*('Testing Checklist'!$E$5:$E$101="In Progress"))</f>
        <v>0</v>
      </c>
      <c r="F12" s="9" t="n">
        <f aca="false">SUMPRODUCT(('Testing Checklist'!$B$5:$B$101=A12)*('Testing Checklist'!$E$5:$E$101="Not Started"))</f>
        <v>6</v>
      </c>
      <c r="G12" s="9" t="n">
        <f aca="false">SUMPRODUCT(('Testing Checklist'!$B$5:$B$101=A12)*('Testing Checklist'!$E$5:$E$101="Blocked"))</f>
        <v>0</v>
      </c>
      <c r="H12" s="9" t="n">
        <f aca="false">SUMPRODUCT(('Testing Checklist'!$B$5:$B$101=A12)*('Testing Checklist'!$E$5:$E$101="N/A"))</f>
        <v>0</v>
      </c>
    </row>
    <row r="13" customFormat="false" ht="15" hidden="false" customHeight="false" outlineLevel="0" collapsed="false">
      <c r="A13" s="9" t="s">
        <v>106</v>
      </c>
      <c r="B13" s="9" t="n">
        <f aca="false">COUNTIF('Testing Checklist'!$B$5:$B$101,A13)</f>
        <v>5</v>
      </c>
      <c r="C13" s="9" t="n">
        <f aca="false">SUMPRODUCT(('Testing Checklist'!$B$5:$B$101=A13)*('Testing Checklist'!$E$5:$E$101="Pass"))</f>
        <v>0</v>
      </c>
      <c r="D13" s="9" t="n">
        <f aca="false">SUMPRODUCT(('Testing Checklist'!$B$5:$B$101=A13)*('Testing Checklist'!$E$5:$E$101="Fail"))</f>
        <v>0</v>
      </c>
      <c r="E13" s="9" t="n">
        <f aca="false">SUMPRODUCT(('Testing Checklist'!$B$5:$B$101=A13)*('Testing Checklist'!$E$5:$E$101="In Progress"))</f>
        <v>0</v>
      </c>
      <c r="F13" s="9" t="n">
        <f aca="false">SUMPRODUCT(('Testing Checklist'!$B$5:$B$101=A13)*('Testing Checklist'!$E$5:$E$101="Not Started"))</f>
        <v>5</v>
      </c>
      <c r="G13" s="9" t="n">
        <f aca="false">SUMPRODUCT(('Testing Checklist'!$B$5:$B$101=A13)*('Testing Checklist'!$E$5:$E$101="Blocked"))</f>
        <v>0</v>
      </c>
      <c r="H13" s="9" t="n">
        <f aca="false">SUMPRODUCT(('Testing Checklist'!$B$5:$B$101=A13)*('Testing Checklist'!$E$5:$E$101="N/A"))</f>
        <v>0</v>
      </c>
    </row>
    <row r="14" customFormat="false" ht="15" hidden="false" customHeight="false" outlineLevel="0" collapsed="false">
      <c r="A14" s="9" t="s">
        <v>112</v>
      </c>
      <c r="B14" s="9" t="n">
        <f aca="false">COUNTIF('Testing Checklist'!$B$5:$B$101,A14)</f>
        <v>4</v>
      </c>
      <c r="C14" s="9" t="n">
        <f aca="false">SUMPRODUCT(('Testing Checklist'!$B$5:$B$101=A14)*('Testing Checklist'!$E$5:$E$101="Pass"))</f>
        <v>0</v>
      </c>
      <c r="D14" s="9" t="n">
        <f aca="false">SUMPRODUCT(('Testing Checklist'!$B$5:$B$101=A14)*('Testing Checklist'!$E$5:$E$101="Fail"))</f>
        <v>0</v>
      </c>
      <c r="E14" s="9" t="n">
        <f aca="false">SUMPRODUCT(('Testing Checklist'!$B$5:$B$101=A14)*('Testing Checklist'!$E$5:$E$101="In Progress"))</f>
        <v>0</v>
      </c>
      <c r="F14" s="9" t="n">
        <f aca="false">SUMPRODUCT(('Testing Checklist'!$B$5:$B$101=A14)*('Testing Checklist'!$E$5:$E$101="Not Started"))</f>
        <v>4</v>
      </c>
      <c r="G14" s="9" t="n">
        <f aca="false">SUMPRODUCT(('Testing Checklist'!$B$5:$B$101=A14)*('Testing Checklist'!$E$5:$E$101="Blocked"))</f>
        <v>0</v>
      </c>
      <c r="H14" s="9" t="n">
        <f aca="false">SUMPRODUCT(('Testing Checklist'!$B$5:$B$101=A14)*('Testing Checklist'!$E$5:$E$101="N/A"))</f>
        <v>0</v>
      </c>
    </row>
    <row r="15" customFormat="false" ht="15" hidden="false" customHeight="false" outlineLevel="0" collapsed="false">
      <c r="A15" s="10" t="s">
        <v>123</v>
      </c>
      <c r="B15" s="10" t="n">
        <f aca="false">SUM(B2:B14)</f>
        <v>97</v>
      </c>
      <c r="C15" s="10" t="n">
        <f aca="false">SUM(C2:C14)</f>
        <v>0</v>
      </c>
      <c r="D15" s="10" t="n">
        <f aca="false">SUM(D2:D14)</f>
        <v>0</v>
      </c>
      <c r="E15" s="10" t="n">
        <f aca="false">SUM(E2:E14)</f>
        <v>0</v>
      </c>
      <c r="F15" s="10" t="n">
        <f aca="false">SUM(F2:F14)</f>
        <v>97</v>
      </c>
      <c r="G15" s="10" t="n">
        <f aca="false">SUM(G2:G14)</f>
        <v>0</v>
      </c>
      <c r="H15" s="10" t="n">
        <f aca="false">SUM(H2:H14)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2026-08-18T22:12:17Z</dcterms:created>
  <dc:creator>openpyxl</dc:creator>
  <dc:description/>
  <dc:language>en-US</dc:language>
  <cp:lastModifiedBy/>
  <dcterms:modified xsi:type="dcterms:W3CDTF">2026-08-18T22:12:17Z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